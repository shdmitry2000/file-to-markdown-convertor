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לוואות" sheetId="1" state="visible" r:id="rId1"/>
  </sheets>
  <definedNames>
    <definedName name="סך_יתרות">הלוואות!$C$8</definedName>
    <definedName name="_xlnm._FilterDatabase" localSheetId="0" hidden="1">'הלוואות'!$A$2:$E$7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[$₪-he-IL]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מחלקת אשראי</author>
  </authors>
  <commentList>
    <comment ref="C8" authorId="0" shapeId="0">
      <text>
        <t>סך יתרות ההלוואות בכל הבנקים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תיק הלוואות — רבעון 2, 2026</t>
        </is>
      </c>
    </row>
    <row r="2">
      <c r="A2" s="2" t="inlineStr">
        <is>
          <t>בנק</t>
        </is>
      </c>
      <c r="B2" s="2" t="inlineStr">
        <is>
          <t>סוג הלוואה</t>
        </is>
      </c>
      <c r="C2" s="2" t="inlineStr">
        <is>
          <t>יתרה</t>
        </is>
      </c>
      <c r="D2" s="2" t="inlineStr">
        <is>
          <t>ריבית</t>
        </is>
      </c>
      <c r="E2" s="2" t="inlineStr">
        <is>
          <t>תשלום חודשי</t>
        </is>
      </c>
    </row>
    <row r="3">
      <c r="A3" t="inlineStr">
        <is>
          <t>הפועלים</t>
        </is>
      </c>
      <c r="B3" t="inlineStr">
        <is>
          <t>משכנתא</t>
        </is>
      </c>
      <c r="C3" s="3" t="n">
        <v>850000</v>
      </c>
      <c r="D3" s="4" t="n">
        <v>0.032</v>
      </c>
      <c r="E3" s="3">
        <f>C3*D3/12</f>
        <v>2266.6666666667</v>
      </c>
    </row>
    <row r="4">
      <c r="A4" t="inlineStr">
        <is>
          <t>הפועלים</t>
        </is>
      </c>
      <c r="B4" t="inlineStr">
        <is>
          <t>צרכנית</t>
        </is>
      </c>
      <c r="C4" s="3" t="n">
        <v>120000</v>
      </c>
      <c r="D4" s="4" t="n">
        <v>0.079</v>
      </c>
      <c r="E4" s="3">
        <f>C4*D4/12</f>
        <v>790.0</v>
      </c>
    </row>
    <row r="5">
      <c r="A5" t="inlineStr">
        <is>
          <t>לאומי</t>
        </is>
      </c>
      <c r="B5" t="inlineStr">
        <is>
          <t>משכנתא</t>
        </is>
      </c>
      <c r="C5" s="3" t="n">
        <v>1240000</v>
      </c>
      <c r="D5" s="4" t="n">
        <v>0.041</v>
      </c>
      <c r="E5" s="3">
        <f>C5*D5/12</f>
        <v>4236.6666666667</v>
      </c>
    </row>
    <row r="6">
      <c r="A6" t="inlineStr">
        <is>
          <t>לאומי</t>
        </is>
      </c>
      <c r="B6" t="inlineStr">
        <is>
          <t>עסקית</t>
        </is>
      </c>
      <c r="C6" s="3" t="n">
        <v>430000</v>
      </c>
      <c r="D6" s="4" t="n">
        <v>0.055</v>
      </c>
      <c r="E6" s="3">
        <f>C6*D6/12</f>
        <v>1970.8333333333</v>
      </c>
    </row>
    <row r="7">
      <c r="A7" t="inlineStr">
        <is>
          <t>דיסקונט</t>
        </is>
      </c>
      <c r="B7" t="inlineStr">
        <is>
          <t>צרכנית</t>
        </is>
      </c>
      <c r="C7" s="3" t="n">
        <v>96000</v>
      </c>
      <c r="D7" s="4" t="n">
        <v>0.083</v>
      </c>
      <c r="E7" s="3">
        <f>C7*D7/12</f>
        <v>664.0</v>
      </c>
    </row>
    <row r="8">
      <c r="A8" s="5" t="inlineStr">
        <is>
          <t>סה"כ</t>
        </is>
      </c>
      <c r="C8" s="3">
        <f>SUM(C3:C7)</f>
        <v>2736000</v>
      </c>
      <c r="D8">
        <f>C8/COUNT(C3:C7)</f>
        <v>547200.0</v>
      </c>
      <c r="E8" s="3">
        <f>SUM(E3:E7)</f>
        <v>9928.1666666667</v>
      </c>
    </row>
  </sheetData>
  <autoFilter ref="A2:E7"/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2026-08-11T11:55:32Z</dcterms:created>
  <dcterms:modified xmlns:dcterms="http://purl.org/dc/terms/" xmlns:xsi="http://www.w3.org/2001/XMLSchema-instance" xsi:type="dcterms:W3CDTF">2026-08-11T11:55:32Z</dcterms:modified>
</cp:coreProperties>
</file>