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רווח והפסד" sheetId="1" state="visible" r:id="rId1"/>
    <sheet xmlns:r="http://schemas.openxmlformats.org/officeDocument/2006/relationships" name="מאזן" sheetId="2" state="visible" r:id="rId2"/>
    <sheet xmlns:r="http://schemas.openxmlformats.org/officeDocument/2006/relationships" name="תזר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[$₪-he-IL]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סעיף</t>
        </is>
      </c>
      <c r="B1" s="1" t="n">
        <v>2024</v>
      </c>
      <c r="C1" s="1" t="n">
        <v>2025</v>
      </c>
      <c r="D1" s="1" t="n">
        <v>2026</v>
      </c>
    </row>
    <row r="2">
      <c r="A2" s="2" t="inlineStr">
        <is>
          <t>הכנסות</t>
        </is>
      </c>
      <c r="B2" s="3" t="n">
        <v>12000000</v>
      </c>
      <c r="C2" s="3" t="n">
        <v>14500000</v>
      </c>
      <c r="D2" s="3" t="n">
        <v>17200000</v>
      </c>
    </row>
    <row r="3">
      <c r="A3" s="4" t="inlineStr">
        <is>
          <t>עלות המכר</t>
        </is>
      </c>
      <c r="B3" s="3" t="n">
        <v>7200000</v>
      </c>
      <c r="C3" s="3" t="n">
        <v>8400000</v>
      </c>
      <c r="D3" s="3" t="n">
        <v>9800000</v>
      </c>
    </row>
    <row r="4">
      <c r="A4" s="2" t="inlineStr">
        <is>
          <t>רווח גולמי</t>
        </is>
      </c>
      <c r="B4">
        <f>B2-B3</f>
        <v>4800000</v>
      </c>
      <c r="C4">
        <f>C2-C3</f>
        <v>6100000</v>
      </c>
      <c r="D4">
        <f>D2-D3</f>
        <v>7400000</v>
      </c>
    </row>
    <row r="5">
      <c r="A5" s="4" t="inlineStr">
        <is>
          <t>הוצאות תפעול</t>
        </is>
      </c>
      <c r="B5" s="3" t="n">
        <v>2900000</v>
      </c>
      <c r="C5" s="3" t="n">
        <v>3300000</v>
      </c>
      <c r="D5" s="3" t="n">
        <v>3900000</v>
      </c>
    </row>
    <row r="6">
      <c r="A6" s="2" t="inlineStr">
        <is>
          <t>רווח תפעולי</t>
        </is>
      </c>
      <c r="B6">
        <f>B4-B5</f>
        <v>1900000</v>
      </c>
      <c r="C6">
        <f>C4-C5</f>
        <v>2800000</v>
      </c>
      <c r="D6">
        <f>D4-D5</f>
        <v>3500000</v>
      </c>
    </row>
    <row r="7">
      <c r="A7" s="4" t="inlineStr">
        <is>
          <t>מס</t>
        </is>
      </c>
      <c r="B7">
        <f>B6*0.23</f>
        <v>437000.0</v>
      </c>
      <c r="C7">
        <f>C6*0.23</f>
        <v>644000.0</v>
      </c>
      <c r="D7">
        <f>D6*0.23</f>
        <v>805000.0</v>
      </c>
    </row>
    <row r="8">
      <c r="A8" s="2" t="inlineStr">
        <is>
          <t>רווח נקי</t>
        </is>
      </c>
      <c r="B8">
        <f>B6-B7</f>
        <v>1463000.0</v>
      </c>
      <c r="C8">
        <f>C6-C7</f>
        <v>2156000.0</v>
      </c>
      <c r="D8">
        <f>D6-D7</f>
        <v>2695000.0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סעיף</t>
        </is>
      </c>
      <c r="B1" s="1" t="n">
        <v>2024</v>
      </c>
      <c r="C1" s="1" t="n">
        <v>2025</v>
      </c>
      <c r="D1" s="1" t="n">
        <v>2026</v>
      </c>
    </row>
    <row r="2">
      <c r="A2" s="4" t="inlineStr">
        <is>
          <t>מזומן</t>
        </is>
      </c>
      <c r="B2" s="3" t="n">
        <v>1100000</v>
      </c>
      <c r="C2" s="3" t="n">
        <v>1450000</v>
      </c>
      <c r="D2" s="3" t="n">
        <v>1900000</v>
      </c>
    </row>
    <row r="3">
      <c r="A3" s="4" t="inlineStr">
        <is>
          <t>לקוחות</t>
        </is>
      </c>
      <c r="B3" s="3" t="n">
        <v>2300000</v>
      </c>
      <c r="C3" s="3" t="n">
        <v>2700000</v>
      </c>
      <c r="D3" s="3" t="n">
        <v>3100000</v>
      </c>
    </row>
    <row r="4">
      <c r="A4" s="4" t="inlineStr">
        <is>
          <t>רכוש קבוע</t>
        </is>
      </c>
      <c r="B4" s="3" t="n">
        <v>5000000</v>
      </c>
      <c r="C4" s="3" t="n">
        <v>5400000</v>
      </c>
      <c r="D4" s="3" t="n">
        <v>6100000</v>
      </c>
    </row>
    <row r="5">
      <c r="A5" s="2" t="inlineStr">
        <is>
          <t>סה"כ נכסים</t>
        </is>
      </c>
      <c r="B5">
        <f>SUM(B2:B4)</f>
        <v>8400000</v>
      </c>
      <c r="C5">
        <f>SUM(C2:C4)</f>
        <v>9550000</v>
      </c>
      <c r="D5">
        <f>SUM(D2:D4)</f>
        <v>11100000</v>
      </c>
    </row>
    <row r="6">
      <c r="A6" s="2" t="inlineStr">
        <is>
          <t>עודפים (מרווח נקי)</t>
        </is>
      </c>
      <c r="B6">
        <f>'רווח והפסד'!B8</f>
        <v>1463000.0</v>
      </c>
      <c r="C6">
        <f>'רווח והפסד'!C8</f>
        <v>2156000.0</v>
      </c>
      <c r="D6">
        <f>'רווח והפסד'!D8</f>
        <v>2695000.0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סעיף</t>
        </is>
      </c>
      <c r="B1" s="1" t="n">
        <v>2024</v>
      </c>
      <c r="C1" s="1" t="n">
        <v>2025</v>
      </c>
      <c r="D1" s="1" t="n">
        <v>2026</v>
      </c>
    </row>
    <row r="2">
      <c r="A2" s="2" t="inlineStr">
        <is>
          <t>רווח נקי</t>
        </is>
      </c>
      <c r="B2">
        <f>'רווח והפסד'!B8</f>
        <v>1463000.0</v>
      </c>
      <c r="C2">
        <f>'רווח והפסד'!C8</f>
        <v>2156000.0</v>
      </c>
      <c r="D2">
        <f>'רווח והפסד'!D8</f>
        <v>2695000.0</v>
      </c>
    </row>
    <row r="3">
      <c r="A3" s="4" t="inlineStr">
        <is>
          <t>פחת</t>
        </is>
      </c>
      <c r="B3" s="3" t="n">
        <v>400000</v>
      </c>
      <c r="C3" s="3" t="n">
        <v>460000</v>
      </c>
      <c r="D3" s="3" t="n">
        <v>520000</v>
      </c>
    </row>
    <row r="4">
      <c r="A4" s="2" t="inlineStr">
        <is>
          <t>תזרים מפעילות שוטפת</t>
        </is>
      </c>
      <c r="B4">
        <f>B2+B3</f>
        <v>1863000.0</v>
      </c>
      <c r="C4">
        <f>C2+C3</f>
        <v>2616000.0</v>
      </c>
      <c r="D4">
        <f>D2+D3</f>
        <v>3215000.0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2026-08-11T11:55:32Z</dcterms:created>
  <dcterms:modified xmlns:dcterms="http://purl.org/dc/terms/" xmlns:xsi="http://www.w3.org/2001/XMLSchema-instance" xsi:type="dcterms:W3CDTF">2026-08-11T11:55:32Z</dcterms:modified>
</cp:coreProperties>
</file>